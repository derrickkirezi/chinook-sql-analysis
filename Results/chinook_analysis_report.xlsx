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imelines/timeline1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8556" firstSheet="2" activeTab="2"/>
  </bookViews>
  <sheets>
    <sheet name="Sheet2" sheetId="2" r:id="rId1"/>
    <sheet name="Sheet1" sheetId="3" state="hidden" r:id="rId2"/>
    <sheet name="Dashboard" sheetId="1" r:id="rId3"/>
    <sheet name="Sheet3" sheetId="4" state="hidden" r:id="rId4"/>
    <sheet name="Sheet4" sheetId="5" state="hidden" r:id="rId5"/>
  </sheets>
  <definedNames>
    <definedName name="ExternalData_1" localSheetId="0" hidden="1">Sheet2!$A$1:$B$61</definedName>
    <definedName name="ExternalData_1" localSheetId="3" hidden="1">Sheet3!$A$1:$B$11</definedName>
    <definedName name="ExternalData_1" localSheetId="4" hidden="1">Sheet4!$A$1:$C$25</definedName>
    <definedName name="NativeTimeline_Month">#N/A</definedName>
  </definedNames>
  <calcPr calcId="162913"/>
  <pivotCaches>
    <pivotCache cacheId="0" r:id="rId6"/>
    <pivotCache cacheId="3" r:id="rId7"/>
    <pivotCache cacheId="6" r:id="rId8"/>
  </pivotCaches>
  <fileRecoveryPr repairLoad="1"/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genre_revenue" description="Connection to the 'genre_revenue' query in the workbook." type="5" refreshedVersion="6" background="1" saveData="1">
    <dbPr connection="Provider=Microsoft.Mashup.OleDb.1;Data Source=$Workbook$;Location=genre_revenue;Extended Properties=&quot;&quot;" command="SELECT * FROM [genre_revenue]"/>
  </connection>
  <connection id="2" keepAlive="1" name="Query - monthly_revenue" description="Connection to the 'monthly_revenue' query in the workbook." type="5" refreshedVersion="6" background="1" saveData="1">
    <dbPr connection="Provider=Microsoft.Mashup.OleDb.1;Data Source=$Workbook$;Location=monthly_revenue;Extended Properties=&quot;&quot;" command="SELECT * FROM [monthly_revenue]"/>
  </connection>
  <connection id="3" keepAlive="1" name="Query - top_10_customers" description="Connection to the 'top_10_customers' query in the workbook." type="5" refreshedVersion="6" background="1" saveData="1">
    <dbPr connection="Provider=Microsoft.Mashup.OleDb.1;Data Source=$Workbook$;Location=top_10_customers;Extended Properties=&quot;&quot;" command="SELECT * FROM [top_10_customers]"/>
  </connection>
</connections>
</file>

<file path=xl/sharedStrings.xml><?xml version="1.0" encoding="utf-8"?>
<sst xmlns="http://schemas.openxmlformats.org/spreadsheetml/2006/main" count="104" uniqueCount="63">
  <si>
    <t>Month</t>
  </si>
  <si>
    <t>Revenue</t>
  </si>
  <si>
    <t>Row Labels</t>
  </si>
  <si>
    <t>Grand Total</t>
  </si>
  <si>
    <t>2021</t>
  </si>
  <si>
    <t>2022</t>
  </si>
  <si>
    <t>2023</t>
  </si>
  <si>
    <t>2024</t>
  </si>
  <si>
    <t>2025</t>
  </si>
  <si>
    <t>Sum of Revenue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</si>
  <si>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</si>
  <si>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</si>
  <si>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</si>
  <si>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</si>
  <si>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</si>
  <si>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</si>
  <si>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</si>
  <si>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</si>
  <si>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</si>
  <si>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</si>
  <si>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</si>
  <si>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</si>
  <si>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</si>
  <si>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</t>
  </si>
  <si>
    <t>Spending</t>
  </si>
  <si>
    <t>Helena HolÃ½</t>
  </si>
  <si>
    <t>Richard Cunningham</t>
  </si>
  <si>
    <t>Luis Rojas</t>
  </si>
  <si>
    <t>Ladislav KovÃ¡cs</t>
  </si>
  <si>
    <t>Hugh O'Reilly</t>
  </si>
  <si>
    <t>Julia Barnett</t>
  </si>
  <si>
    <t>Fynn Zimmermann</t>
  </si>
  <si>
    <t>Frank Ralston</t>
  </si>
  <si>
    <t>Victor Stevens</t>
  </si>
  <si>
    <t>Astrid Gruber</t>
  </si>
  <si>
    <t>Sum of Spending</t>
  </si>
  <si>
    <t>GenreId</t>
  </si>
  <si>
    <t>Name</t>
  </si>
  <si>
    <t>Rock</t>
  </si>
  <si>
    <t>Latin</t>
  </si>
  <si>
    <t>Metal</t>
  </si>
  <si>
    <t>Alternative &amp; Punk</t>
  </si>
  <si>
    <t>TV Shows</t>
  </si>
  <si>
    <t>Jazz</t>
  </si>
  <si>
    <t>Drama</t>
  </si>
  <si>
    <t>Blues</t>
  </si>
  <si>
    <t>R&amp;B/Soul</t>
  </si>
  <si>
    <t>Reggae</t>
  </si>
  <si>
    <t>Classical</t>
  </si>
  <si>
    <t>Soundtrack</t>
  </si>
  <si>
    <t>Pop</t>
  </si>
  <si>
    <t>Alternative</t>
  </si>
  <si>
    <t>Sci Fi &amp; Fantasy</t>
  </si>
  <si>
    <t>World</t>
  </si>
  <si>
    <t>Hip Hop/Rap</t>
  </si>
  <si>
    <t>Heavy Metal</t>
  </si>
  <si>
    <t>Electronica/Dance</t>
  </si>
  <si>
    <t>Easy Listening</t>
  </si>
  <si>
    <t>Comedy</t>
  </si>
  <si>
    <t>Science Fiction</t>
  </si>
  <si>
    <t>Bossa Nova</t>
  </si>
  <si>
    <t>Rock And Roll</t>
  </si>
  <si>
    <t>Chinook Database Analysis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</si>
</sst>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[chinook_analysis_report.xlsx]Sheet2!PivotTable2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Sheet2!$K$5:$K$6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Sheet2!$J$7:$J$19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Sheet2!$K$7:$K$19</c:f>
              <c:numCache>
                <c:formatCode>General</c:formatCode>
                <c:ptCount val="12"/>
                <c:pt idx="0">
                  <c:v>35.64</c:v>
                </c:pt>
                <c:pt idx="1">
                  <c:v>37.619999999999997</c:v>
                </c:pt>
                <c:pt idx="2">
                  <c:v>37.619999999999997</c:v>
                </c:pt>
                <c:pt idx="3">
                  <c:v>37.619999999999997</c:v>
                </c:pt>
                <c:pt idx="4">
                  <c:v>37.619999999999997</c:v>
                </c:pt>
                <c:pt idx="5">
                  <c:v>37.619999999999997</c:v>
                </c:pt>
                <c:pt idx="6">
                  <c:v>37.619999999999997</c:v>
                </c:pt>
                <c:pt idx="7">
                  <c:v>37.619999999999997</c:v>
                </c:pt>
                <c:pt idx="8">
                  <c:v>37.619999999999997</c:v>
                </c:pt>
                <c:pt idx="9">
                  <c:v>37.619999999999997</c:v>
                </c:pt>
                <c:pt idx="10">
                  <c:v>37.619999999999997</c:v>
                </c:pt>
                <c:pt idx="11">
                  <c:v>37.619999999999997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7-43E1-89C7-8BECC51BA7D4}"/>
            </c:ext>
          </c:extLst>
        </c:ser>
        <c:ser>
          <c:idx val="1"/>
          <c:order val="1"/>
          <c:tx>
            <c:strRef>
              <c:f>Sheet2!$L$5:$L$6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Sheet2!$J$7:$J$19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Sheet2!$L$7:$L$19</c:f>
              <c:numCache>
                <c:formatCode>General</c:formatCode>
                <c:ptCount val="12"/>
                <c:pt idx="0">
                  <c:v>52.62</c:v>
                </c:pt>
                <c:pt idx="1">
                  <c:v>46.62</c:v>
                </c:pt>
                <c:pt idx="2">
                  <c:v>44.62</c:v>
                </c:pt>
                <c:pt idx="3">
                  <c:v>37.619999999999997</c:v>
                </c:pt>
                <c:pt idx="4">
                  <c:v>37.619999999999997</c:v>
                </c:pt>
                <c:pt idx="5">
                  <c:v>37.619999999999997</c:v>
                </c:pt>
                <c:pt idx="6">
                  <c:v>37.619999999999997</c:v>
                </c:pt>
                <c:pt idx="7">
                  <c:v>37.619999999999997</c:v>
                </c:pt>
                <c:pt idx="8">
                  <c:v>36.630000000000003</c:v>
                </c:pt>
                <c:pt idx="9">
                  <c:v>37.619999999999997</c:v>
                </c:pt>
                <c:pt idx="10">
                  <c:v>37.619999999999997</c:v>
                </c:pt>
                <c:pt idx="11">
                  <c:v>37.619999999999997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21-4419-B90C-A5C1E2A695C4}"/>
            </c:ext>
          </c:extLst>
        </c:ser>
        <c:ser>
          <c:idx val="2"/>
          <c:order val="2"/>
          <c:tx>
            <c:strRef>
              <c:f>Sheet2!$M$5:$M$6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Sheet2!$J$7:$J$19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Sheet2!$M$7:$M$19</c:f>
              <c:numCache>
                <c:formatCode>General</c:formatCode>
                <c:ptCount val="12"/>
                <c:pt idx="0">
                  <c:v>37.619999999999997</c:v>
                </c:pt>
                <c:pt idx="1">
                  <c:v>37.619999999999997</c:v>
                </c:pt>
                <c:pt idx="2">
                  <c:v>37.619999999999997</c:v>
                </c:pt>
                <c:pt idx="3">
                  <c:v>51.62</c:v>
                </c:pt>
                <c:pt idx="4">
                  <c:v>42.62</c:v>
                </c:pt>
                <c:pt idx="5">
                  <c:v>50.62</c:v>
                </c:pt>
                <c:pt idx="6">
                  <c:v>37.619999999999997</c:v>
                </c:pt>
                <c:pt idx="7">
                  <c:v>37.619999999999997</c:v>
                </c:pt>
                <c:pt idx="8">
                  <c:v>37.619999999999997</c:v>
                </c:pt>
                <c:pt idx="9">
                  <c:v>37.619999999999997</c:v>
                </c:pt>
                <c:pt idx="10">
                  <c:v>23.76</c:v>
                </c:pt>
                <c:pt idx="11">
                  <c:v>37.619999999999997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21-4419-B90C-A5C1E2A695C4}"/>
            </c:ext>
          </c:extLst>
        </c:ser>
        <c:ser>
          <c:idx val="3"/>
          <c:order val="3"/>
          <c:tx>
            <c:strRef>
              <c:f>Sheet2!$N$5:$N$6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Sheet2!$J$7:$J$19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Sheet2!$N$7:$N$19</c:f>
              <c:numCache>
                <c:formatCode>General</c:formatCode>
                <c:ptCount val="12"/>
                <c:pt idx="0">
                  <c:v>37.619999999999997</c:v>
                </c:pt>
                <c:pt idx="1">
                  <c:v>37.619999999999997</c:v>
                </c:pt>
                <c:pt idx="2">
                  <c:v>37.619999999999997</c:v>
                </c:pt>
                <c:pt idx="3">
                  <c:v>37.619999999999997</c:v>
                </c:pt>
                <c:pt idx="4">
                  <c:v>37.619999999999997</c:v>
                </c:pt>
                <c:pt idx="5">
                  <c:v>37.619999999999997</c:v>
                </c:pt>
                <c:pt idx="6">
                  <c:v>39.619999999999997</c:v>
                </c:pt>
                <c:pt idx="7">
                  <c:v>47.62</c:v>
                </c:pt>
                <c:pt idx="8">
                  <c:v>46.71</c:v>
                </c:pt>
                <c:pt idx="9">
                  <c:v>42.62</c:v>
                </c:pt>
                <c:pt idx="10">
                  <c:v>37.619999999999997</c:v>
                </c:pt>
                <c:pt idx="11">
                  <c:v>37.619999999999997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21-4419-B90C-A5C1E2A695C4}"/>
            </c:ext>
          </c:extLst>
        </c:ser>
        <c:ser>
          <c:idx val="4"/>
          <c:order val="4"/>
          <c:tx>
            <c:strRef>
              <c:f>Sheet2!$O$5:$O$6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Sheet2!$J$7:$J$19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Sheet2!$O$7:$O$19</c:f>
              <c:numCache>
                <c:formatCode>General</c:formatCode>
                <c:ptCount val="12"/>
                <c:pt idx="0">
                  <c:v>37.619999999999997</c:v>
                </c:pt>
                <c:pt idx="1">
                  <c:v>27.72</c:v>
                </c:pt>
                <c:pt idx="2">
                  <c:v>37.619999999999997</c:v>
                </c:pt>
                <c:pt idx="3">
                  <c:v>33.659999999999997</c:v>
                </c:pt>
                <c:pt idx="4">
                  <c:v>37.619999999999997</c:v>
                </c:pt>
                <c:pt idx="5">
                  <c:v>37.619999999999997</c:v>
                </c:pt>
                <c:pt idx="6">
                  <c:v>37.619999999999997</c:v>
                </c:pt>
                <c:pt idx="7">
                  <c:v>37.619999999999997</c:v>
                </c:pt>
                <c:pt idx="8">
                  <c:v>37.619999999999997</c:v>
                </c:pt>
                <c:pt idx="9">
                  <c:v>37.619999999999997</c:v>
                </c:pt>
                <c:pt idx="10">
                  <c:v>49.62</c:v>
                </c:pt>
                <c:pt idx="11">
                  <c:v>38.619999999999997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21-4419-B90C-A5C1E2A69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2090736"/>
        <c:axId val="1112096144"/>
      </c:barChart>
      <c:catAx>
        <c:axId val="111209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6144"/>
        <c:crosses val="autoZero"/>
        <c:auto val="1"/>
        <c:lblAlgn val="ctr"/>
        <c:lblOffset val="100"/>
        <c:noMultiLvlLbl val="0"/>
      </c:catAx>
      <c:valAx>
        <c:axId val="11120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[chinook_analysis_report.xlsx]Sheet4!PivotTable2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by Genre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Sheet4!$F$2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Sheet4!$E$3:$E$27</c:f>
              <c:strCache>
                <c:ptCount val="24"/>
                <c:pt idx="0">
                  <c:v>Alternative</c:v>
                </c:pt>
                <c:pt idx="1">
                  <c:v>Alternative &amp; Punk</c:v>
                </c:pt>
                <c:pt idx="2">
                  <c:v>Blues</c:v>
                </c:pt>
                <c:pt idx="3">
                  <c:v>Bossa Nova</c:v>
                </c:pt>
                <c:pt idx="4">
                  <c:v>Classical</c:v>
                </c:pt>
                <c:pt idx="5">
                  <c:v>Comedy</c:v>
                </c:pt>
                <c:pt idx="6">
                  <c:v>Drama</c:v>
                </c:pt>
                <c:pt idx="7">
                  <c:v>Easy Listening</c:v>
                </c:pt>
                <c:pt idx="8">
                  <c:v>Electronica/Dance</c:v>
                </c:pt>
                <c:pt idx="9">
                  <c:v>Heavy Metal</c:v>
                </c:pt>
                <c:pt idx="10">
                  <c:v>Hip Hop/Rap</c:v>
                </c:pt>
                <c:pt idx="11">
                  <c:v>Jazz</c:v>
                </c:pt>
                <c:pt idx="12">
                  <c:v>Latin</c:v>
                </c:pt>
                <c:pt idx="13">
                  <c:v>Metal</c:v>
                </c:pt>
                <c:pt idx="14">
                  <c:v>Pop</c:v>
                </c:pt>
                <c:pt idx="15">
                  <c:v>R&amp;B/Soul</c:v>
                </c:pt>
                <c:pt idx="16">
                  <c:v>Reggae</c:v>
                </c:pt>
                <c:pt idx="17">
                  <c:v>Rock</c:v>
                </c:pt>
                <c:pt idx="18">
                  <c:v>Rock And Roll</c:v>
                </c:pt>
                <c:pt idx="19">
                  <c:v>Sci Fi &amp; Fantasy</c:v>
                </c:pt>
                <c:pt idx="20">
                  <c:v>Science Fiction</c:v>
                </c:pt>
                <c:pt idx="21">
                  <c:v>Soundtrack</c:v>
                </c:pt>
                <c:pt idx="22">
                  <c:v>TV Shows</c:v>
                </c:pt>
                <c:pt idx="23">
                  <c:v>World</c:v>
                </c:pt>
              </c:strCache>
            </c:strRef>
          </c:cat>
          <c:val>
            <c:numRef>
              <c:f>Sheet4!$F$3:$F$27</c:f>
              <c:numCache>
                <c:formatCode>General</c:formatCode>
                <c:ptCount val="24"/>
                <c:pt idx="0">
                  <c:v>211.17</c:v>
                </c:pt>
                <c:pt idx="1">
                  <c:v>1961.66</c:v>
                </c:pt>
                <c:pt idx="2">
                  <c:v>429.66</c:v>
                </c:pt>
                <c:pt idx="3">
                  <c:v>86.13</c:v>
                </c:pt>
                <c:pt idx="4">
                  <c:v>317.04000000000002</c:v>
                </c:pt>
                <c:pt idx="5">
                  <c:v>112.3</c:v>
                </c:pt>
                <c:pt idx="6">
                  <c:v>544.61</c:v>
                </c:pt>
                <c:pt idx="7">
                  <c:v>138.6</c:v>
                </c:pt>
                <c:pt idx="8">
                  <c:v>149.62</c:v>
                </c:pt>
                <c:pt idx="9">
                  <c:v>161.37</c:v>
                </c:pt>
                <c:pt idx="10">
                  <c:v>166.41</c:v>
                </c:pt>
                <c:pt idx="11">
                  <c:v>746.46</c:v>
                </c:pt>
                <c:pt idx="12">
                  <c:v>3472.55</c:v>
                </c:pt>
                <c:pt idx="13">
                  <c:v>2093.13</c:v>
                </c:pt>
                <c:pt idx="14">
                  <c:v>239.75</c:v>
                </c:pt>
                <c:pt idx="15">
                  <c:v>338.62</c:v>
                </c:pt>
                <c:pt idx="16">
                  <c:v>332.64</c:v>
                </c:pt>
                <c:pt idx="17">
                  <c:v>7720.02</c:v>
                </c:pt>
                <c:pt idx="18">
                  <c:v>83.16</c:v>
                </c:pt>
                <c:pt idx="19">
                  <c:v>198.87</c:v>
                </c:pt>
                <c:pt idx="20">
                  <c:v>102.41</c:v>
                </c:pt>
                <c:pt idx="21">
                  <c:v>242.55</c:v>
                </c:pt>
                <c:pt idx="22">
                  <c:v>817.71</c:v>
                </c:pt>
                <c:pt idx="23">
                  <c:v>182.18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9-41DA-8D2F-90ED2F5DE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455471"/>
        <c:axId val="93457135"/>
      </c:lineChart>
      <c:catAx>
        <c:axId val="9345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57135"/>
        <c:crosses val="autoZero"/>
        <c:auto val="1"/>
        <c:lblAlgn val="ctr"/>
        <c:lblOffset val="100"/>
        <c:noMultiLvlLbl val="0"/>
      </c:catAx>
      <c:valAx>
        <c:axId val="9345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5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[chinook_analysis_report.xlsx]Sheet2!PivotTable2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Sheet2!$K$5:$K$6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Sheet2!$J$7:$J$19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Sheet2!$K$7:$K$19</c:f>
              <c:numCache>
                <c:formatCode>General</c:formatCode>
                <c:ptCount val="12"/>
                <c:pt idx="0">
                  <c:v>35.64</c:v>
                </c:pt>
                <c:pt idx="1">
                  <c:v>37.619999999999997</c:v>
                </c:pt>
                <c:pt idx="2">
                  <c:v>37.619999999999997</c:v>
                </c:pt>
                <c:pt idx="3">
                  <c:v>37.619999999999997</c:v>
                </c:pt>
                <c:pt idx="4">
                  <c:v>37.619999999999997</c:v>
                </c:pt>
                <c:pt idx="5">
                  <c:v>37.619999999999997</c:v>
                </c:pt>
                <c:pt idx="6">
                  <c:v>37.619999999999997</c:v>
                </c:pt>
                <c:pt idx="7">
                  <c:v>37.619999999999997</c:v>
                </c:pt>
                <c:pt idx="8">
                  <c:v>37.619999999999997</c:v>
                </c:pt>
                <c:pt idx="9">
                  <c:v>37.619999999999997</c:v>
                </c:pt>
                <c:pt idx="10">
                  <c:v>37.619999999999997</c:v>
                </c:pt>
                <c:pt idx="11">
                  <c:v>37.619999999999997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A-4675-8EDF-B3FF3BBEAA21}"/>
            </c:ext>
          </c:extLst>
        </c:ser>
        <c:ser>
          <c:idx val="1"/>
          <c:order val="1"/>
          <c:tx>
            <c:strRef>
              <c:f>Sheet2!$L$5:$L$6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Sheet2!$J$7:$J$19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Sheet2!$L$7:$L$19</c:f>
              <c:numCache>
                <c:formatCode>General</c:formatCode>
                <c:ptCount val="12"/>
                <c:pt idx="0">
                  <c:v>52.62</c:v>
                </c:pt>
                <c:pt idx="1">
                  <c:v>46.62</c:v>
                </c:pt>
                <c:pt idx="2">
                  <c:v>44.62</c:v>
                </c:pt>
                <c:pt idx="3">
                  <c:v>37.619999999999997</c:v>
                </c:pt>
                <c:pt idx="4">
                  <c:v>37.619999999999997</c:v>
                </c:pt>
                <c:pt idx="5">
                  <c:v>37.619999999999997</c:v>
                </c:pt>
                <c:pt idx="6">
                  <c:v>37.619999999999997</c:v>
                </c:pt>
                <c:pt idx="7">
                  <c:v>37.619999999999997</c:v>
                </c:pt>
                <c:pt idx="8">
                  <c:v>36.630000000000003</c:v>
                </c:pt>
                <c:pt idx="9">
                  <c:v>37.619999999999997</c:v>
                </c:pt>
                <c:pt idx="10">
                  <c:v>37.619999999999997</c:v>
                </c:pt>
                <c:pt idx="11">
                  <c:v>37.619999999999997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BA-4675-8EDF-B3FF3BBEAA21}"/>
            </c:ext>
          </c:extLst>
        </c:ser>
        <c:ser>
          <c:idx val="2"/>
          <c:order val="2"/>
          <c:tx>
            <c:strRef>
              <c:f>Sheet2!$M$5:$M$6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Sheet2!$J$7:$J$19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Sheet2!$M$7:$M$19</c:f>
              <c:numCache>
                <c:formatCode>General</c:formatCode>
                <c:ptCount val="12"/>
                <c:pt idx="0">
                  <c:v>37.619999999999997</c:v>
                </c:pt>
                <c:pt idx="1">
                  <c:v>37.619999999999997</c:v>
                </c:pt>
                <c:pt idx="2">
                  <c:v>37.619999999999997</c:v>
                </c:pt>
                <c:pt idx="3">
                  <c:v>51.62</c:v>
                </c:pt>
                <c:pt idx="4">
                  <c:v>42.62</c:v>
                </c:pt>
                <c:pt idx="5">
                  <c:v>50.62</c:v>
                </c:pt>
                <c:pt idx="6">
                  <c:v>37.619999999999997</c:v>
                </c:pt>
                <c:pt idx="7">
                  <c:v>37.619999999999997</c:v>
                </c:pt>
                <c:pt idx="8">
                  <c:v>37.619999999999997</c:v>
                </c:pt>
                <c:pt idx="9">
                  <c:v>37.619999999999997</c:v>
                </c:pt>
                <c:pt idx="10">
                  <c:v>23.76</c:v>
                </c:pt>
                <c:pt idx="11">
                  <c:v>37.619999999999997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BA-4675-8EDF-B3FF3BBEAA21}"/>
            </c:ext>
          </c:extLst>
        </c:ser>
        <c:ser>
          <c:idx val="3"/>
          <c:order val="3"/>
          <c:tx>
            <c:strRef>
              <c:f>Sheet2!$N$5:$N$6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Sheet2!$J$7:$J$19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Sheet2!$N$7:$N$19</c:f>
              <c:numCache>
                <c:formatCode>General</c:formatCode>
                <c:ptCount val="12"/>
                <c:pt idx="0">
                  <c:v>37.619999999999997</c:v>
                </c:pt>
                <c:pt idx="1">
                  <c:v>37.619999999999997</c:v>
                </c:pt>
                <c:pt idx="2">
                  <c:v>37.619999999999997</c:v>
                </c:pt>
                <c:pt idx="3">
                  <c:v>37.619999999999997</c:v>
                </c:pt>
                <c:pt idx="4">
                  <c:v>37.619999999999997</c:v>
                </c:pt>
                <c:pt idx="5">
                  <c:v>37.619999999999997</c:v>
                </c:pt>
                <c:pt idx="6">
                  <c:v>39.619999999999997</c:v>
                </c:pt>
                <c:pt idx="7">
                  <c:v>47.62</c:v>
                </c:pt>
                <c:pt idx="8">
                  <c:v>46.71</c:v>
                </c:pt>
                <c:pt idx="9">
                  <c:v>42.62</c:v>
                </c:pt>
                <c:pt idx="10">
                  <c:v>37.619999999999997</c:v>
                </c:pt>
                <c:pt idx="11">
                  <c:v>37.619999999999997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BA-4675-8EDF-B3FF3BBEAA21}"/>
            </c:ext>
          </c:extLst>
        </c:ser>
        <c:ser>
          <c:idx val="4"/>
          <c:order val="4"/>
          <c:tx>
            <c:strRef>
              <c:f>Sheet2!$O$5:$O$6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Sheet2!$J$7:$J$19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Sheet2!$O$7:$O$19</c:f>
              <c:numCache>
                <c:formatCode>General</c:formatCode>
                <c:ptCount val="12"/>
                <c:pt idx="0">
                  <c:v>37.619999999999997</c:v>
                </c:pt>
                <c:pt idx="1">
                  <c:v>27.72</c:v>
                </c:pt>
                <c:pt idx="2">
                  <c:v>37.619999999999997</c:v>
                </c:pt>
                <c:pt idx="3">
                  <c:v>33.659999999999997</c:v>
                </c:pt>
                <c:pt idx="4">
                  <c:v>37.619999999999997</c:v>
                </c:pt>
                <c:pt idx="5">
                  <c:v>37.619999999999997</c:v>
                </c:pt>
                <c:pt idx="6">
                  <c:v>37.619999999999997</c:v>
                </c:pt>
                <c:pt idx="7">
                  <c:v>37.619999999999997</c:v>
                </c:pt>
                <c:pt idx="8">
                  <c:v>37.619999999999997</c:v>
                </c:pt>
                <c:pt idx="9">
                  <c:v>37.619999999999997</c:v>
                </c:pt>
                <c:pt idx="10">
                  <c:v>49.62</c:v>
                </c:pt>
                <c:pt idx="11">
                  <c:v>38.619999999999997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BA-4675-8EDF-B3FF3BBEA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2090736"/>
        <c:axId val="1112096144"/>
      </c:barChart>
      <c:catAx>
        <c:axId val="111209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6144"/>
        <c:crosses val="autoZero"/>
        <c:auto val="1"/>
        <c:lblAlgn val="ctr"/>
        <c:lblOffset val="100"/>
        <c:noMultiLvlLbl val="0"/>
      </c:catAx>
      <c:valAx>
        <c:axId val="11120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[chinook_analysis_report.xlsx]Sheet3!PivotTable1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Customers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Sheet3!$E$3:$E$13</c:f>
              <c:strCache>
                <c:ptCount val="10"/>
                <c:pt idx="0">
                  <c:v>Astrid Gruber</c:v>
                </c:pt>
                <c:pt idx="1">
                  <c:v>Frank Ralston</c:v>
                </c:pt>
                <c:pt idx="2">
                  <c:v>Fynn Zimmermann</c:v>
                </c:pt>
                <c:pt idx="3">
                  <c:v>Helena HolÃ½</c:v>
                </c:pt>
                <c:pt idx="4">
                  <c:v>Hugh O'Reilly</c:v>
                </c:pt>
                <c:pt idx="5">
                  <c:v>Julia Barnett</c:v>
                </c:pt>
                <c:pt idx="6">
                  <c:v>Ladislav KovÃ¡cs</c:v>
                </c:pt>
                <c:pt idx="7">
                  <c:v>Luis Rojas</c:v>
                </c:pt>
                <c:pt idx="8">
                  <c:v>Richard Cunningham</c:v>
                </c:pt>
                <c:pt idx="9">
                  <c:v>Victor Stevens</c:v>
                </c:pt>
              </c:strCache>
            </c:strRef>
          </c:cat>
          <c:val>
            <c:numRef>
              <c:f>Sheet3!$F$3:$F$13</c:f>
              <c:numCache>
                <c:formatCode>General</c:formatCode>
                <c:ptCount val="10"/>
                <c:pt idx="0">
                  <c:v>42.62</c:v>
                </c:pt>
                <c:pt idx="1">
                  <c:v>43.62</c:v>
                </c:pt>
                <c:pt idx="2">
                  <c:v>43.62</c:v>
                </c:pt>
                <c:pt idx="3">
                  <c:v>49.62</c:v>
                </c:pt>
                <c:pt idx="4">
                  <c:v>45.62</c:v>
                </c:pt>
                <c:pt idx="5">
                  <c:v>43.62</c:v>
                </c:pt>
                <c:pt idx="6">
                  <c:v>45.62</c:v>
                </c:pt>
                <c:pt idx="7">
                  <c:v>46.62</c:v>
                </c:pt>
                <c:pt idx="8">
                  <c:v>47.62</c:v>
                </c:pt>
                <c:pt idx="9">
                  <c:v>42.62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5-4BB0-BF5C-4C61F23CA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327087"/>
        <c:axId val="78325839"/>
      </c:barChart>
      <c:catAx>
        <c:axId val="78327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25839"/>
        <c:crosses val="autoZero"/>
        <c:auto val="1"/>
        <c:lblAlgn val="ctr"/>
        <c:lblOffset val="100"/>
        <c:noMultiLvlLbl val="0"/>
      </c:catAx>
      <c:valAx>
        <c:axId val="7832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2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[chinook_analysis_report.xlsx]Sheet3!PivotTable1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Sheet3!$E$3:$E$13</c:f>
              <c:strCache>
                <c:ptCount val="10"/>
                <c:pt idx="0">
                  <c:v>Astrid Gruber</c:v>
                </c:pt>
                <c:pt idx="1">
                  <c:v>Frank Ralston</c:v>
                </c:pt>
                <c:pt idx="2">
                  <c:v>Fynn Zimmermann</c:v>
                </c:pt>
                <c:pt idx="3">
                  <c:v>Helena HolÃ½</c:v>
                </c:pt>
                <c:pt idx="4">
                  <c:v>Hugh O'Reilly</c:v>
                </c:pt>
                <c:pt idx="5">
                  <c:v>Julia Barnett</c:v>
                </c:pt>
                <c:pt idx="6">
                  <c:v>Ladislav KovÃ¡cs</c:v>
                </c:pt>
                <c:pt idx="7">
                  <c:v>Luis Rojas</c:v>
                </c:pt>
                <c:pt idx="8">
                  <c:v>Richard Cunningham</c:v>
                </c:pt>
                <c:pt idx="9">
                  <c:v>Victor Stevens</c:v>
                </c:pt>
              </c:strCache>
            </c:strRef>
          </c:cat>
          <c:val>
            <c:numRef>
              <c:f>Sheet3!$F$3:$F$13</c:f>
              <c:numCache>
                <c:formatCode>General</c:formatCode>
                <c:ptCount val="10"/>
                <c:pt idx="0">
                  <c:v>42.62</c:v>
                </c:pt>
                <c:pt idx="1">
                  <c:v>43.62</c:v>
                </c:pt>
                <c:pt idx="2">
                  <c:v>43.62</c:v>
                </c:pt>
                <c:pt idx="3">
                  <c:v>49.62</c:v>
                </c:pt>
                <c:pt idx="4">
                  <c:v>45.62</c:v>
                </c:pt>
                <c:pt idx="5">
                  <c:v>43.62</c:v>
                </c:pt>
                <c:pt idx="6">
                  <c:v>45.62</c:v>
                </c:pt>
                <c:pt idx="7">
                  <c:v>46.62</c:v>
                </c:pt>
                <c:pt idx="8">
                  <c:v>47.62</c:v>
                </c:pt>
                <c:pt idx="9">
                  <c:v>42.62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5-4775-BD4D-587D7F0E6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327087"/>
        <c:axId val="78325839"/>
      </c:barChart>
      <c:catAx>
        <c:axId val="78327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25839"/>
        <c:crosses val="autoZero"/>
        <c:auto val="1"/>
        <c:lblAlgn val="ctr"/>
        <c:lblOffset val="100"/>
        <c:noMultiLvlLbl val="0"/>
      </c:catAx>
      <c:valAx>
        <c:axId val="7832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2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[chinook_analysis_report.xlsx]Sheet4!PivotTable2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Sheet4!$F$2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Sheet4!$E$3:$E$27</c:f>
              <c:strCache>
                <c:ptCount val="24"/>
                <c:pt idx="0">
                  <c:v>Alternative</c:v>
                </c:pt>
                <c:pt idx="1">
                  <c:v>Alternative &amp; Punk</c:v>
                </c:pt>
                <c:pt idx="2">
                  <c:v>Blues</c:v>
                </c:pt>
                <c:pt idx="3">
                  <c:v>Bossa Nova</c:v>
                </c:pt>
                <c:pt idx="4">
                  <c:v>Classical</c:v>
                </c:pt>
                <c:pt idx="5">
                  <c:v>Comedy</c:v>
                </c:pt>
                <c:pt idx="6">
                  <c:v>Drama</c:v>
                </c:pt>
                <c:pt idx="7">
                  <c:v>Easy Listening</c:v>
                </c:pt>
                <c:pt idx="8">
                  <c:v>Electronica/Dance</c:v>
                </c:pt>
                <c:pt idx="9">
                  <c:v>Heavy Metal</c:v>
                </c:pt>
                <c:pt idx="10">
                  <c:v>Hip Hop/Rap</c:v>
                </c:pt>
                <c:pt idx="11">
                  <c:v>Jazz</c:v>
                </c:pt>
                <c:pt idx="12">
                  <c:v>Latin</c:v>
                </c:pt>
                <c:pt idx="13">
                  <c:v>Metal</c:v>
                </c:pt>
                <c:pt idx="14">
                  <c:v>Pop</c:v>
                </c:pt>
                <c:pt idx="15">
                  <c:v>R&amp;B/Soul</c:v>
                </c:pt>
                <c:pt idx="16">
                  <c:v>Reggae</c:v>
                </c:pt>
                <c:pt idx="17">
                  <c:v>Rock</c:v>
                </c:pt>
                <c:pt idx="18">
                  <c:v>Rock And Roll</c:v>
                </c:pt>
                <c:pt idx="19">
                  <c:v>Sci Fi &amp; Fantasy</c:v>
                </c:pt>
                <c:pt idx="20">
                  <c:v>Science Fiction</c:v>
                </c:pt>
                <c:pt idx="21">
                  <c:v>Soundtrack</c:v>
                </c:pt>
                <c:pt idx="22">
                  <c:v>TV Shows</c:v>
                </c:pt>
                <c:pt idx="23">
                  <c:v>World</c:v>
                </c:pt>
              </c:strCache>
            </c:strRef>
          </c:cat>
          <c:val>
            <c:numRef>
              <c:f>Sheet4!$F$3:$F$27</c:f>
              <c:numCache>
                <c:formatCode>General</c:formatCode>
                <c:ptCount val="24"/>
                <c:pt idx="0">
                  <c:v>211.17</c:v>
                </c:pt>
                <c:pt idx="1">
                  <c:v>1961.66</c:v>
                </c:pt>
                <c:pt idx="2">
                  <c:v>429.66</c:v>
                </c:pt>
                <c:pt idx="3">
                  <c:v>86.13</c:v>
                </c:pt>
                <c:pt idx="4">
                  <c:v>317.04000000000002</c:v>
                </c:pt>
                <c:pt idx="5">
                  <c:v>112.3</c:v>
                </c:pt>
                <c:pt idx="6">
                  <c:v>544.61</c:v>
                </c:pt>
                <c:pt idx="7">
                  <c:v>138.6</c:v>
                </c:pt>
                <c:pt idx="8">
                  <c:v>149.62</c:v>
                </c:pt>
                <c:pt idx="9">
                  <c:v>161.37</c:v>
                </c:pt>
                <c:pt idx="10">
                  <c:v>166.41</c:v>
                </c:pt>
                <c:pt idx="11">
                  <c:v>746.46</c:v>
                </c:pt>
                <c:pt idx="12">
                  <c:v>3472.55</c:v>
                </c:pt>
                <c:pt idx="13">
                  <c:v>2093.13</c:v>
                </c:pt>
                <c:pt idx="14">
                  <c:v>239.75</c:v>
                </c:pt>
                <c:pt idx="15">
                  <c:v>338.62</c:v>
                </c:pt>
                <c:pt idx="16">
                  <c:v>332.64</c:v>
                </c:pt>
                <c:pt idx="17">
                  <c:v>7720.02</c:v>
                </c:pt>
                <c:pt idx="18">
                  <c:v>83.16</c:v>
                </c:pt>
                <c:pt idx="19">
                  <c:v>198.87</c:v>
                </c:pt>
                <c:pt idx="20">
                  <c:v>102.41</c:v>
                </c:pt>
                <c:pt idx="21">
                  <c:v>242.55</c:v>
                </c:pt>
                <c:pt idx="22">
                  <c:v>817.71</c:v>
                </c:pt>
                <c:pt idx="23">
                  <c:v>182.18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CF-4A21-B8F2-D0DC1FF25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455471"/>
        <c:axId val="93457135"/>
      </c:lineChart>
      <c:catAx>
        <c:axId val="9345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57135"/>
        <c:crosses val="autoZero"/>
        <c:auto val="1"/>
        <c:lblAlgn val="ctr"/>
        <c:lblOffset val="100"/>
        <c:noMultiLvlLbl val="0"/>
      </c:catAx>
      <c:valAx>
        <c:axId val="9345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5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499110</xdr:colOff>
      <xdr:row>7</xdr:row>
      <xdr:rowOff>137160</xdr:rowOff>
    </xdr:from>
    <xdr:to>
      <xdr:col>10</xdr:col>
      <xdr:colOff>552450</xdr:colOff>
      <xdr:row>22</xdr:row>
      <xdr:rowOff>137160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563217</xdr:colOff>
      <xdr:row>12</xdr:row>
      <xdr:rowOff>22087</xdr:rowOff>
    </xdr:from>
    <xdr:to>
      <xdr:col>17</xdr:col>
      <xdr:colOff>0</xdr:colOff>
      <xdr:row>34</xdr:row>
      <xdr:rowOff>22087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102220</xdr:rowOff>
    </xdr:from>
    <xdr:to>
      <xdr:col>7</xdr:col>
      <xdr:colOff>460248</xdr:colOff>
      <xdr:row>18</xdr:row>
      <xdr:rowOff>102220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18586</xdr:rowOff>
    </xdr:from>
    <xdr:to>
      <xdr:col>7</xdr:col>
      <xdr:colOff>457200</xdr:colOff>
      <xdr:row>34</xdr:row>
      <xdr:rowOff>18586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559852</xdr:colOff>
      <xdr:row>3</xdr:row>
      <xdr:rowOff>111513</xdr:rowOff>
    </xdr:from>
    <xdr:to>
      <xdr:col>17</xdr:col>
      <xdr:colOff>0</xdr:colOff>
      <xdr:row>11</xdr:row>
      <xdr:rowOff>78060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51576" y="803444"/>
              <a:ext cx="5571183" cy="1437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or higher. Do not move or resize.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</xdr:colOff>
      <xdr:row>6</xdr:row>
      <xdr:rowOff>137160</xdr:rowOff>
    </xdr:from>
    <xdr:to>
      <xdr:col>6</xdr:col>
      <xdr:colOff>415290</xdr:colOff>
      <xdr:row>21</xdr:row>
      <xdr:rowOff>137160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643890</xdr:colOff>
      <xdr:row>6</xdr:row>
      <xdr:rowOff>137160</xdr:rowOff>
    </xdr:from>
    <xdr:to>
      <xdr:col>7</xdr:col>
      <xdr:colOff>41910</xdr:colOff>
      <xdr:row>21</xdr:row>
      <xdr:rowOff>137160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44.813016782406" createdVersion="6" refreshedVersion="6" minRefreshableVersion="3" recordCount="60">
  <cacheSource type="worksheet">
    <worksheetSource name="monthly_revenue"/>
  </cacheSource>
  <cacheFields count="4">
    <cacheField name="Month" numFmtId="14">
      <sharedItems containsSemiMixedTypes="0" containsNonDate="0" containsDate="1" containsString="0" minDate="2021-01-01T00:00:00" maxDate="2025-12-02T00:00:00" count="60"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3" base="0">
        <rangePr groupBy="months" startDate="2021-01-01T00:00:00" endDate="2025-12-02T00:00:00"/>
        <groupItems count="14">
          <s v="&lt;1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5"/>
        </groupItems>
      </fieldGroup>
    </cacheField>
    <cacheField name="Revenue" numFmtId="0">
      <sharedItems containsSemiMixedTypes="0" containsString="0" containsNumber="1" minValue="23.76" maxValue="52.62"/>
    </cacheField>
    <cacheField name="Quarters" numFmtId="0" databaseField="0">
      <fieldGroup base="0">
        <rangePr groupBy="quarters" startDate="2021-01-01T00:00:00" endDate="2025-12-02T00:00:00"/>
        <groupItems count="6">
          <s v="&lt;1/1/2021"/>
          <s v="Qtr1"/>
          <s v="Qtr2"/>
          <s v="Qtr3"/>
          <s v="Qtr4"/>
          <s v="&gt;12/2/2025"/>
        </groupItems>
      </fieldGroup>
    </cacheField>
    <cacheField name="Years" numFmtId="0" databaseField="0">
      <fieldGroup base="0">
        <rangePr groupBy="years" startDate="2021-01-01T00:00:00" endDate="2025-12-02T00:00:00"/>
        <groupItems count="7">
          <s v="&lt;1/1/2021"/>
          <s v="2021"/>
          <s v="2022"/>
          <s v="2023"/>
          <s v="2024"/>
          <s v="2025"/>
          <s v="&gt;12/2/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044.880325810183" createdVersion="6" refreshedVersion="6" minRefreshableVersion="3" recordCount="10">
  <cacheSource type="worksheet">
    <worksheetSource name="top_10_customers"/>
  </cacheSource>
  <cacheFields count="2">
    <cacheField name="Customer" numFmtId="0">
      <sharedItems count="10">
        <s v="Helena HolÃ½"/>
        <s v="Richard Cunningham"/>
        <s v="Luis Rojas"/>
        <s v="Ladislav KovÃ¡cs"/>
        <s v="Hugh O'Reilly"/>
        <s v="Julia Barnett"/>
        <s v="Fynn Zimmermann"/>
        <s v="Frank Ralston"/>
        <s v="Victor Stevens"/>
        <s v="Astrid Gruber"/>
      </sharedItems>
    </cacheField>
    <cacheField name="Spending" numFmtId="0">
      <sharedItems containsSemiMixedTypes="0" containsString="0" containsNumber="1" minValue="42.62" maxValue="49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P" refreshedDate="46044.881070370371" createdVersion="6" refreshedVersion="6" minRefreshableVersion="3" recordCount="24">
  <cacheSource type="worksheet">
    <worksheetSource name="genre_revenue"/>
  </cacheSource>
  <cacheFields count="3">
    <cacheField name="GenreId" numFmtId="0">
      <sharedItems containsSemiMixedTypes="0" containsString="0" containsNumber="1" containsInteger="1" minValue="1" maxValue="24"/>
    </cacheField>
    <cacheField name="Name" numFmtId="0">
      <sharedItems count="24">
        <s v="Rock"/>
        <s v="Latin"/>
        <s v="Metal"/>
        <s v="Alternative &amp; Punk"/>
        <s v="TV Shows"/>
        <s v="Jazz"/>
        <s v="Drama"/>
        <s v="Blues"/>
        <s v="R&amp;B/Soul"/>
        <s v="Reggae"/>
        <s v="Classical"/>
        <s v="Soundtrack"/>
        <s v="Pop"/>
        <s v="Alternative"/>
        <s v="Sci Fi &amp; Fantasy"/>
        <s v="World"/>
        <s v="Hip Hop/Rap"/>
        <s v="Heavy Metal"/>
        <s v="Electronica/Dance"/>
        <s v="Easy Listening"/>
        <s v="Comedy"/>
        <s v="Science Fiction"/>
        <s v="Bossa Nova"/>
        <s v="Rock And Roll"/>
      </sharedItems>
    </cacheField>
    <cacheField name="Revenue" numFmtId="0">
      <sharedItems containsSemiMixedTypes="0" containsString="0" containsNumber="1" minValue="83.16" maxValue="7720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">
  <r>
    <x v="0"/>
    <n v="35.64"/>
  </r>
  <r>
    <x v="1"/>
    <n v="37.619999999999997"/>
  </r>
  <r>
    <x v="2"/>
    <n v="37.619999999999997"/>
  </r>
  <r>
    <x v="3"/>
    <n v="37.619999999999997"/>
  </r>
  <r>
    <x v="4"/>
    <n v="37.619999999999997"/>
  </r>
  <r>
    <x v="5"/>
    <n v="37.619999999999997"/>
  </r>
  <r>
    <x v="6"/>
    <n v="37.619999999999997"/>
  </r>
  <r>
    <x v="7"/>
    <n v="37.619999999999997"/>
  </r>
  <r>
    <x v="8"/>
    <n v="37.619999999999997"/>
  </r>
  <r>
    <x v="9"/>
    <n v="37.619999999999997"/>
  </r>
  <r>
    <x v="10"/>
    <n v="37.619999999999997"/>
  </r>
  <r>
    <x v="11"/>
    <n v="37.619999999999997"/>
  </r>
  <r>
    <x v="12"/>
    <n v="52.62"/>
  </r>
  <r>
    <x v="13"/>
    <n v="46.62"/>
  </r>
  <r>
    <x v="14"/>
    <n v="44.62"/>
  </r>
  <r>
    <x v="15"/>
    <n v="37.619999999999997"/>
  </r>
  <r>
    <x v="16"/>
    <n v="37.619999999999997"/>
  </r>
  <r>
    <x v="17"/>
    <n v="37.619999999999997"/>
  </r>
  <r>
    <x v="18"/>
    <n v="37.619999999999997"/>
  </r>
  <r>
    <x v="19"/>
    <n v="37.619999999999997"/>
  </r>
  <r>
    <x v="20"/>
    <n v="36.630000000000003"/>
  </r>
  <r>
    <x v="21"/>
    <n v="37.619999999999997"/>
  </r>
  <r>
    <x v="22"/>
    <n v="37.619999999999997"/>
  </r>
  <r>
    <x v="23"/>
    <n v="37.619999999999997"/>
  </r>
  <r>
    <x v="24"/>
    <n v="37.619999999999997"/>
  </r>
  <r>
    <x v="25"/>
    <n v="37.619999999999997"/>
  </r>
  <r>
    <x v="26"/>
    <n v="37.619999999999997"/>
  </r>
  <r>
    <x v="27"/>
    <n v="51.62"/>
  </r>
  <r>
    <x v="28"/>
    <n v="42.62"/>
  </r>
  <r>
    <x v="29"/>
    <n v="50.62"/>
  </r>
  <r>
    <x v="30"/>
    <n v="37.619999999999997"/>
  </r>
  <r>
    <x v="31"/>
    <n v="37.619999999999997"/>
  </r>
  <r>
    <x v="32"/>
    <n v="37.619999999999997"/>
  </r>
  <r>
    <x v="33"/>
    <n v="37.619999999999997"/>
  </r>
  <r>
    <x v="34"/>
    <n v="23.76"/>
  </r>
  <r>
    <x v="35"/>
    <n v="37.619999999999997"/>
  </r>
  <r>
    <x v="36"/>
    <n v="37.619999999999997"/>
  </r>
  <r>
    <x v="37"/>
    <n v="37.619999999999997"/>
  </r>
  <r>
    <x v="38"/>
    <n v="37.619999999999997"/>
  </r>
  <r>
    <x v="39"/>
    <n v="37.619999999999997"/>
  </r>
  <r>
    <x v="40"/>
    <n v="37.619999999999997"/>
  </r>
  <r>
    <x v="41"/>
    <n v="37.619999999999997"/>
  </r>
  <r>
    <x v="42"/>
    <n v="39.619999999999997"/>
  </r>
  <r>
    <x v="43"/>
    <n v="47.62"/>
  </r>
  <r>
    <x v="44"/>
    <n v="46.71"/>
  </r>
  <r>
    <x v="45"/>
    <n v="42.62"/>
  </r>
  <r>
    <x v="46"/>
    <n v="37.619999999999997"/>
  </r>
  <r>
    <x v="47"/>
    <n v="37.619999999999997"/>
  </r>
  <r>
    <x v="48"/>
    <n v="37.619999999999997"/>
  </r>
  <r>
    <x v="49"/>
    <n v="27.72"/>
  </r>
  <r>
    <x v="50"/>
    <n v="37.619999999999997"/>
  </r>
  <r>
    <x v="51"/>
    <n v="33.659999999999997"/>
  </r>
  <r>
    <x v="52"/>
    <n v="37.619999999999997"/>
  </r>
  <r>
    <x v="53"/>
    <n v="37.619999999999997"/>
  </r>
  <r>
    <x v="54"/>
    <n v="37.619999999999997"/>
  </r>
  <r>
    <x v="55"/>
    <n v="37.619999999999997"/>
  </r>
  <r>
    <x v="56"/>
    <n v="37.619999999999997"/>
  </r>
  <r>
    <x v="57"/>
    <n v="37.619999999999997"/>
  </r>
  <r>
    <x v="58"/>
    <n v="49.62"/>
  </r>
  <r>
    <x v="59"/>
    <n v="38.6199999999999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x v="0"/>
    <n v="49.62"/>
  </r>
  <r>
    <x v="1"/>
    <n v="47.62"/>
  </r>
  <r>
    <x v="2"/>
    <n v="46.62"/>
  </r>
  <r>
    <x v="3"/>
    <n v="45.62"/>
  </r>
  <r>
    <x v="4"/>
    <n v="45.62"/>
  </r>
  <r>
    <x v="5"/>
    <n v="43.62"/>
  </r>
  <r>
    <x v="6"/>
    <n v="43.62"/>
  </r>
  <r>
    <x v="7"/>
    <n v="43.62"/>
  </r>
  <r>
    <x v="8"/>
    <n v="42.62"/>
  </r>
  <r>
    <x v="9"/>
    <n v="42.6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4">
  <r>
    <n v="1"/>
    <x v="0"/>
    <n v="7720.02"/>
  </r>
  <r>
    <n v="7"/>
    <x v="1"/>
    <n v="3472.55"/>
  </r>
  <r>
    <n v="3"/>
    <x v="2"/>
    <n v="2093.13"/>
  </r>
  <r>
    <n v="4"/>
    <x v="3"/>
    <n v="1961.66"/>
  </r>
  <r>
    <n v="19"/>
    <x v="4"/>
    <n v="817.71"/>
  </r>
  <r>
    <n v="2"/>
    <x v="5"/>
    <n v="746.46"/>
  </r>
  <r>
    <n v="21"/>
    <x v="6"/>
    <n v="544.61"/>
  </r>
  <r>
    <n v="6"/>
    <x v="7"/>
    <n v="429.66"/>
  </r>
  <r>
    <n v="14"/>
    <x v="8"/>
    <n v="338.62"/>
  </r>
  <r>
    <n v="8"/>
    <x v="9"/>
    <n v="332.64"/>
  </r>
  <r>
    <n v="24"/>
    <x v="10"/>
    <n v="317.04000000000002"/>
  </r>
  <r>
    <n v="10"/>
    <x v="11"/>
    <n v="242.55"/>
  </r>
  <r>
    <n v="9"/>
    <x v="12"/>
    <n v="239.75"/>
  </r>
  <r>
    <n v="23"/>
    <x v="13"/>
    <n v="211.17"/>
  </r>
  <r>
    <n v="20"/>
    <x v="14"/>
    <n v="198.87"/>
  </r>
  <r>
    <n v="16"/>
    <x v="15"/>
    <n v="182.18"/>
  </r>
  <r>
    <n v="17"/>
    <x v="16"/>
    <n v="166.41"/>
  </r>
  <r>
    <n v="13"/>
    <x v="17"/>
    <n v="161.37"/>
  </r>
  <r>
    <n v="15"/>
    <x v="18"/>
    <n v="149.62"/>
  </r>
  <r>
    <n v="12"/>
    <x v="19"/>
    <n v="138.6"/>
  </r>
  <r>
    <n v="22"/>
    <x v="20"/>
    <n v="112.3"/>
  </r>
  <r>
    <n v="18"/>
    <x v="21"/>
    <n v="102.41"/>
  </r>
  <r>
    <n v="11"/>
    <x v="22"/>
    <n v="86.13"/>
  </r>
  <r>
    <n v="5"/>
    <x v="23"/>
    <n v="83.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4">
  <location ref="J5:P19" firstHeaderRow="1" firstDataRow="2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" fld="1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E2:F13" firstHeaderRow="1" firstDataRow="1" firstDataCol="1"/>
  <pivotFields count="2">
    <pivotField axis="axisRow" showAll="0">
      <items count="11">
        <item x="9"/>
        <item x="7"/>
        <item x="6"/>
        <item x="0"/>
        <item x="4"/>
        <item x="5"/>
        <item x="3"/>
        <item x="2"/>
        <item x="1"/>
        <item x="8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pending" fld="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E2:F27" firstHeaderRow="1" firstDataRow="1" firstDataCol="1"/>
  <pivotFields count="3">
    <pivotField showAll="0"/>
    <pivotField axis="axisRow" showAll="0">
      <items count="25">
        <item x="13"/>
        <item x="3"/>
        <item x="7"/>
        <item x="22"/>
        <item x="10"/>
        <item x="20"/>
        <item x="6"/>
        <item x="19"/>
        <item x="18"/>
        <item x="17"/>
        <item x="16"/>
        <item x="5"/>
        <item x="1"/>
        <item x="2"/>
        <item x="12"/>
        <item x="8"/>
        <item x="9"/>
        <item x="0"/>
        <item x="23"/>
        <item x="14"/>
        <item x="21"/>
        <item x="11"/>
        <item x="4"/>
        <item x="15"/>
        <item t="default"/>
      </items>
    </pivotField>
    <pivotField dataField="1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Revenue" fld="2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Month" tableColumnId="5"/>
      <queryTableField id="2" name="Revenue" tableColumnId="6"/>
    </queryTableFields>
  </queryTableRefresh>
</queryTable>
</file>

<file path=xl/queryTables/queryTable2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Customer" tableColumnId="5"/>
      <queryTableField id="2" name="Spending" tableColumnId="6"/>
    </queryTableFields>
  </queryTableRefresh>
</queryTable>
</file>

<file path=xl/queryTables/queryTable3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GenreId" tableColumnId="7"/>
      <queryTableField id="2" name="Name" tableColumnId="8"/>
      <queryTableField id="3" name="Revenu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monthly_revenue" displayName="monthly_revenue" ref="A1:B61" tableType="queryTable" totalsRowShown="0">
  <autoFilter ref="A1:B61"/>
  <tableColumns count="2">
    <tableColumn id="5" uniqueName="5" name="Month" queryTableFieldId="1" dataDxfId="6"/>
    <tableColumn id="6" uniqueName="6" name="Revenue" queryTableFieldId="2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op_10_customers" displayName="top_10_customers" ref="A1:B11" tableType="queryTable" totalsRowShown="0">
  <autoFilter ref="A1:B11"/>
  <tableColumns count="2">
    <tableColumn id="5" uniqueName="5" name="Customer" queryTableFieldId="1" dataDxfId="4"/>
    <tableColumn id="6" uniqueName="6" name="Spending" queryTableFieldId="2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genre_revenue" displayName="genre_revenue" ref="A1:C25" tableType="queryTable" totalsRowShown="0">
  <autoFilter ref="A1:C25"/>
  <tableColumns count="3">
    <tableColumn id="7" uniqueName="7" name="GenreId" queryTableFieldId="1" dataDxfId="2"/>
    <tableColumn id="8" uniqueName="8" name="Name" queryTableFieldId="2" dataDxfId="1"/>
    <tableColumn id="9" uniqueName="9" name="Revenu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Month" sourceName="Month">
  <pivotTables>
    <pivotTable tabId="2" name="PivotTable2"/>
  </pivotTables>
  <state minimalRefreshVersion="6" lastRefreshVersion="6" pivotCacheId="1" filterType="unknown">
    <bounds startDate="2021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Month" cache="NativeTimeline_Month" caption="Month" level="0" selectionLevel="0" scrollPosition="2021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topLeftCell="A2" workbookViewId="0">
      <selection activeCell="K8" sqref="K8"/>
    </sheetView>
  </sheetViews>
  <sheetFormatPr defaultRowHeight="14.4" x14ac:dyDescent="0.3"/>
  <cols>
    <col min="1" max="1" width="9.5546875" customWidth="1"/>
    <col min="2" max="2" width="10.5546875" customWidth="1"/>
    <col min="10" max="10" width="14.88671875" customWidth="1"/>
    <col min="11" max="11" width="15.5546875" customWidth="1"/>
    <col min="12" max="15" width="7" customWidth="1"/>
    <col min="16" max="16" width="10.77734375" customWidth="1"/>
  </cols>
  <sheetData>
    <row r="1" spans="1:16" x14ac:dyDescent="0.3">
      <c r="A1" s="1" t="s">
        <v>0</v>
      </c>
      <c r="B1" s="1" t="s">
        <v>1</v>
      </c>
    </row>
    <row r="2" spans="1:16" x14ac:dyDescent="0.3">
      <c r="A2" s="2">
        <v>44197</v>
      </c>
      <c r="B2" s="1">
        <v>35.64</v>
      </c>
    </row>
    <row r="3" spans="1:16" x14ac:dyDescent="0.3">
      <c r="A3" s="2">
        <v>44228</v>
      </c>
      <c r="B3" s="1">
        <v>37.619999999999997</v>
      </c>
    </row>
    <row r="4" spans="1:16" x14ac:dyDescent="0.3">
      <c r="A4" s="2">
        <v>44256</v>
      </c>
      <c r="B4" s="1">
        <v>37.619999999999997</v>
      </c>
    </row>
    <row r="5" spans="1:16" x14ac:dyDescent="0.3">
      <c r="A5" s="2">
        <v>44287</v>
      </c>
      <c r="B5" s="1">
        <v>37.619999999999997</v>
      </c>
      <c r="J5" s="3" t="s">
        <v>9</v>
      </c>
      <c r="K5" s="3" t="s">
        <v>10</v>
      </c>
    </row>
    <row r="6" spans="1:16" x14ac:dyDescent="0.3">
      <c r="A6" s="2">
        <v>44317</v>
      </c>
      <c r="B6" s="1">
        <v>37.619999999999997</v>
      </c>
      <c r="J6" s="3" t="s">
        <v>2</v>
      </c>
      <c r="K6" t="s">
        <v>4</v>
      </c>
      <c r="L6" t="s">
        <v>5</v>
      </c>
      <c r="M6" t="s">
        <v>6</v>
      </c>
      <c r="N6" t="s">
        <v>7</v>
      </c>
      <c r="O6" t="s">
        <v>8</v>
      </c>
      <c r="P6" t="s">
        <v>3</v>
      </c>
    </row>
    <row r="7" spans="1:16" x14ac:dyDescent="0.3">
      <c r="A7" s="2">
        <v>44348</v>
      </c>
      <c r="B7" s="1">
        <v>37.619999999999997</v>
      </c>
      <c r="J7" s="5" t="s">
        <v>11</v>
      </c>
      <c r="K7" s="1">
        <v>35.64</v>
      </c>
      <c r="L7" s="1">
        <v>52.62</v>
      </c>
      <c r="M7" s="1">
        <v>37.619999999999997</v>
      </c>
      <c r="N7" s="1">
        <v>37.619999999999997</v>
      </c>
      <c r="O7" s="1">
        <v>37.619999999999997</v>
      </c>
      <c r="P7" s="1">
        <v>201.12</v>
      </c>
    </row>
    <row r="8" spans="1:16" x14ac:dyDescent="0.3">
      <c r="A8" s="2">
        <v>44378</v>
      </c>
      <c r="B8" s="1">
        <v>37.619999999999997</v>
      </c>
      <c r="J8" s="5" t="s">
        <v>12</v>
      </c>
      <c r="K8" s="1">
        <v>37.619999999999997</v>
      </c>
      <c r="L8" s="1">
        <v>46.62</v>
      </c>
      <c r="M8" s="1">
        <v>37.619999999999997</v>
      </c>
      <c r="N8" s="1">
        <v>37.619999999999997</v>
      </c>
      <c r="O8" s="1">
        <v>27.72</v>
      </c>
      <c r="P8" s="1">
        <v>187.2</v>
      </c>
    </row>
    <row r="9" spans="1:16" x14ac:dyDescent="0.3">
      <c r="A9" s="2">
        <v>44409</v>
      </c>
      <c r="B9" s="1">
        <v>37.619999999999997</v>
      </c>
      <c r="J9" s="5" t="s">
        <v>13</v>
      </c>
      <c r="K9" s="1">
        <v>37.619999999999997</v>
      </c>
      <c r="L9" s="1">
        <v>44.62</v>
      </c>
      <c r="M9" s="1">
        <v>37.619999999999997</v>
      </c>
      <c r="N9" s="1">
        <v>37.619999999999997</v>
      </c>
      <c r="O9" s="1">
        <v>37.619999999999997</v>
      </c>
      <c r="P9" s="1">
        <v>195.1</v>
      </c>
    </row>
    <row r="10" spans="1:16" x14ac:dyDescent="0.3">
      <c r="A10" s="2">
        <v>44440</v>
      </c>
      <c r="B10" s="1">
        <v>37.619999999999997</v>
      </c>
      <c r="J10" s="5" t="s">
        <v>14</v>
      </c>
      <c r="K10" s="1">
        <v>37.619999999999997</v>
      </c>
      <c r="L10" s="1">
        <v>37.619999999999997</v>
      </c>
      <c r="M10" s="1">
        <v>51.62</v>
      </c>
      <c r="N10" s="1">
        <v>37.619999999999997</v>
      </c>
      <c r="O10" s="1">
        <v>33.659999999999997</v>
      </c>
      <c r="P10" s="1">
        <v>198.14</v>
      </c>
    </row>
    <row r="11" spans="1:16" x14ac:dyDescent="0.3">
      <c r="A11" s="2">
        <v>44470</v>
      </c>
      <c r="B11" s="1">
        <v>37.619999999999997</v>
      </c>
      <c r="J11" s="5" t="s">
        <v>15</v>
      </c>
      <c r="K11" s="1">
        <v>37.619999999999997</v>
      </c>
      <c r="L11" s="1">
        <v>37.619999999999997</v>
      </c>
      <c r="M11" s="1">
        <v>42.62</v>
      </c>
      <c r="N11" s="1">
        <v>37.619999999999997</v>
      </c>
      <c r="O11" s="1">
        <v>37.619999999999997</v>
      </c>
      <c r="P11" s="1">
        <v>193.1</v>
      </c>
    </row>
    <row r="12" spans="1:16" x14ac:dyDescent="0.3">
      <c r="A12" s="2">
        <v>44501</v>
      </c>
      <c r="B12" s="1">
        <v>37.619999999999997</v>
      </c>
      <c r="J12" s="5" t="s">
        <v>16</v>
      </c>
      <c r="K12" s="1">
        <v>37.619999999999997</v>
      </c>
      <c r="L12" s="1">
        <v>37.619999999999997</v>
      </c>
      <c r="M12" s="1">
        <v>50.62</v>
      </c>
      <c r="N12" s="1">
        <v>37.619999999999997</v>
      </c>
      <c r="O12" s="1">
        <v>37.619999999999997</v>
      </c>
      <c r="P12" s="1">
        <v>201.1</v>
      </c>
    </row>
    <row r="13" spans="1:16" x14ac:dyDescent="0.3">
      <c r="A13" s="2">
        <v>44531</v>
      </c>
      <c r="B13" s="1">
        <v>37.619999999999997</v>
      </c>
      <c r="J13" s="5" t="s">
        <v>17</v>
      </c>
      <c r="K13" s="1">
        <v>37.619999999999997</v>
      </c>
      <c r="L13" s="1">
        <v>37.619999999999997</v>
      </c>
      <c r="M13" s="1">
        <v>37.619999999999997</v>
      </c>
      <c r="N13" s="1">
        <v>39.619999999999997</v>
      </c>
      <c r="O13" s="1">
        <v>37.619999999999997</v>
      </c>
      <c r="P13" s="1">
        <v>190.1</v>
      </c>
    </row>
    <row r="14" spans="1:16" x14ac:dyDescent="0.3">
      <c r="A14" s="2">
        <v>44562</v>
      </c>
      <c r="B14" s="1">
        <v>52.62</v>
      </c>
      <c r="J14" s="5" t="s">
        <v>18</v>
      </c>
      <c r="K14" s="1">
        <v>37.619999999999997</v>
      </c>
      <c r="L14" s="1">
        <v>37.619999999999997</v>
      </c>
      <c r="M14" s="1">
        <v>37.619999999999997</v>
      </c>
      <c r="N14" s="1">
        <v>47.62</v>
      </c>
      <c r="O14" s="1">
        <v>37.619999999999997</v>
      </c>
      <c r="P14" s="1">
        <v>198.1</v>
      </c>
    </row>
    <row r="15" spans="1:16" x14ac:dyDescent="0.3">
      <c r="A15" s="2">
        <v>44593</v>
      </c>
      <c r="B15" s="1">
        <v>46.62</v>
      </c>
      <c r="J15" s="5" t="s">
        <v>19</v>
      </c>
      <c r="K15" s="1">
        <v>37.619999999999997</v>
      </c>
      <c r="L15" s="1">
        <v>36.630000000000003</v>
      </c>
      <c r="M15" s="1">
        <v>37.619999999999997</v>
      </c>
      <c r="N15" s="1">
        <v>46.71</v>
      </c>
      <c r="O15" s="1">
        <v>37.619999999999997</v>
      </c>
      <c r="P15" s="1">
        <v>196.20000000000002</v>
      </c>
    </row>
    <row r="16" spans="1:16" x14ac:dyDescent="0.3">
      <c r="A16" s="2">
        <v>44621</v>
      </c>
      <c r="B16" s="1">
        <v>44.62</v>
      </c>
      <c r="J16" s="5" t="s">
        <v>20</v>
      </c>
      <c r="K16" s="1">
        <v>37.619999999999997</v>
      </c>
      <c r="L16" s="1">
        <v>37.619999999999997</v>
      </c>
      <c r="M16" s="1">
        <v>37.619999999999997</v>
      </c>
      <c r="N16" s="1">
        <v>42.62</v>
      </c>
      <c r="O16" s="1">
        <v>37.619999999999997</v>
      </c>
      <c r="P16" s="1">
        <v>193.1</v>
      </c>
    </row>
    <row r="17" spans="1:16" x14ac:dyDescent="0.3">
      <c r="A17" s="2">
        <v>44652</v>
      </c>
      <c r="B17" s="1">
        <v>37.619999999999997</v>
      </c>
      <c r="J17" s="5" t="s">
        <v>21</v>
      </c>
      <c r="K17" s="1">
        <v>37.619999999999997</v>
      </c>
      <c r="L17" s="1">
        <v>37.619999999999997</v>
      </c>
      <c r="M17" s="1">
        <v>23.76</v>
      </c>
      <c r="N17" s="1">
        <v>37.619999999999997</v>
      </c>
      <c r="O17" s="1">
        <v>49.62</v>
      </c>
      <c r="P17" s="1">
        <v>186.24</v>
      </c>
    </row>
    <row r="18" spans="1:16" x14ac:dyDescent="0.3">
      <c r="A18" s="2">
        <v>44682</v>
      </c>
      <c r="B18" s="1">
        <v>37.619999999999997</v>
      </c>
      <c r="J18" s="5" t="s">
        <v>22</v>
      </c>
      <c r="K18" s="1">
        <v>37.619999999999997</v>
      </c>
      <c r="L18" s="1">
        <v>37.619999999999997</v>
      </c>
      <c r="M18" s="1">
        <v>37.619999999999997</v>
      </c>
      <c r="N18" s="1">
        <v>37.619999999999997</v>
      </c>
      <c r="O18" s="1">
        <v>38.619999999999997</v>
      </c>
      <c r="P18" s="1">
        <v>189.1</v>
      </c>
    </row>
    <row r="19" spans="1:16" x14ac:dyDescent="0.3">
      <c r="A19" s="2">
        <v>44713</v>
      </c>
      <c r="B19" s="1">
        <v>37.619999999999997</v>
      </c>
      <c r="J19" s="5" t="s">
        <v>3</v>
      </c>
      <c r="K19" s="1">
        <v>449.46000000000004</v>
      </c>
      <c r="L19" s="1">
        <v>481.45</v>
      </c>
      <c r="M19" s="1">
        <v>469.58</v>
      </c>
      <c r="N19" s="1">
        <v>477.53</v>
      </c>
      <c r="O19" s="1">
        <v>450.58000000000004</v>
      </c>
      <c r="P19" s="1">
        <v>2328.6</v>
      </c>
    </row>
    <row r="20" spans="1:16" x14ac:dyDescent="0.3">
      <c r="A20" s="2">
        <v>44743</v>
      </c>
      <c r="B20" s="1">
        <v>37.619999999999997</v>
      </c>
    </row>
    <row r="21" spans="1:16" x14ac:dyDescent="0.3">
      <c r="A21" s="2">
        <v>44774</v>
      </c>
      <c r="B21" s="1">
        <v>37.619999999999997</v>
      </c>
    </row>
    <row r="22" spans="1:16" x14ac:dyDescent="0.3">
      <c r="A22" s="2">
        <v>44805</v>
      </c>
      <c r="B22" s="1">
        <v>36.630000000000003</v>
      </c>
    </row>
    <row r="23" spans="1:16" x14ac:dyDescent="0.3">
      <c r="A23" s="2">
        <v>44835</v>
      </c>
      <c r="B23" s="1">
        <v>37.619999999999997</v>
      </c>
    </row>
    <row r="24" spans="1:16" x14ac:dyDescent="0.3">
      <c r="A24" s="2">
        <v>44866</v>
      </c>
      <c r="B24" s="1">
        <v>37.619999999999997</v>
      </c>
    </row>
    <row r="25" spans="1:16" x14ac:dyDescent="0.3">
      <c r="A25" s="2">
        <v>44896</v>
      </c>
      <c r="B25" s="1">
        <v>37.619999999999997</v>
      </c>
    </row>
    <row r="26" spans="1:16" x14ac:dyDescent="0.3">
      <c r="A26" s="2">
        <v>44927</v>
      </c>
      <c r="B26" s="1">
        <v>37.619999999999997</v>
      </c>
    </row>
    <row r="27" spans="1:16" x14ac:dyDescent="0.3">
      <c r="A27" s="2">
        <v>44958</v>
      </c>
      <c r="B27" s="1">
        <v>37.619999999999997</v>
      </c>
    </row>
    <row r="28" spans="1:16" x14ac:dyDescent="0.3">
      <c r="A28" s="2">
        <v>44986</v>
      </c>
      <c r="B28" s="1">
        <v>37.619999999999997</v>
      </c>
    </row>
    <row r="29" spans="1:16" x14ac:dyDescent="0.3">
      <c r="A29" s="2">
        <v>45017</v>
      </c>
      <c r="B29" s="1">
        <v>51.62</v>
      </c>
    </row>
    <row r="30" spans="1:16" x14ac:dyDescent="0.3">
      <c r="A30" s="2">
        <v>45047</v>
      </c>
      <c r="B30" s="1">
        <v>42.62</v>
      </c>
    </row>
    <row r="31" spans="1:16" x14ac:dyDescent="0.3">
      <c r="A31" s="2">
        <v>45078</v>
      </c>
      <c r="B31" s="1">
        <v>50.62</v>
      </c>
    </row>
    <row r="32" spans="1:16" x14ac:dyDescent="0.3">
      <c r="A32" s="2">
        <v>45108</v>
      </c>
      <c r="B32" s="1">
        <v>37.619999999999997</v>
      </c>
    </row>
    <row r="33" spans="1:2" x14ac:dyDescent="0.3">
      <c r="A33" s="2">
        <v>45139</v>
      </c>
      <c r="B33" s="1">
        <v>37.619999999999997</v>
      </c>
    </row>
    <row r="34" spans="1:2" x14ac:dyDescent="0.3">
      <c r="A34" s="2">
        <v>45170</v>
      </c>
      <c r="B34" s="1">
        <v>37.619999999999997</v>
      </c>
    </row>
    <row r="35" spans="1:2" x14ac:dyDescent="0.3">
      <c r="A35" s="2">
        <v>45200</v>
      </c>
      <c r="B35" s="1">
        <v>37.619999999999997</v>
      </c>
    </row>
    <row r="36" spans="1:2" x14ac:dyDescent="0.3">
      <c r="A36" s="2">
        <v>45231</v>
      </c>
      <c r="B36" s="1">
        <v>23.76</v>
      </c>
    </row>
    <row r="37" spans="1:2" x14ac:dyDescent="0.3">
      <c r="A37" s="2">
        <v>45261</v>
      </c>
      <c r="B37" s="1">
        <v>37.619999999999997</v>
      </c>
    </row>
    <row r="38" spans="1:2" x14ac:dyDescent="0.3">
      <c r="A38" s="2">
        <v>45292</v>
      </c>
      <c r="B38" s="1">
        <v>37.619999999999997</v>
      </c>
    </row>
    <row r="39" spans="1:2" x14ac:dyDescent="0.3">
      <c r="A39" s="2">
        <v>45323</v>
      </c>
      <c r="B39" s="1">
        <v>37.619999999999997</v>
      </c>
    </row>
    <row r="40" spans="1:2" x14ac:dyDescent="0.3">
      <c r="A40" s="2">
        <v>45352</v>
      </c>
      <c r="B40" s="1">
        <v>37.619999999999997</v>
      </c>
    </row>
    <row r="41" spans="1:2" x14ac:dyDescent="0.3">
      <c r="A41" s="2">
        <v>45383</v>
      </c>
      <c r="B41" s="1">
        <v>37.619999999999997</v>
      </c>
    </row>
    <row r="42" spans="1:2" x14ac:dyDescent="0.3">
      <c r="A42" s="2">
        <v>45413</v>
      </c>
      <c r="B42" s="1">
        <v>37.619999999999997</v>
      </c>
    </row>
    <row r="43" spans="1:2" x14ac:dyDescent="0.3">
      <c r="A43" s="2">
        <v>45444</v>
      </c>
      <c r="B43" s="1">
        <v>37.619999999999997</v>
      </c>
    </row>
    <row r="44" spans="1:2" x14ac:dyDescent="0.3">
      <c r="A44" s="2">
        <v>45474</v>
      </c>
      <c r="B44" s="1">
        <v>39.619999999999997</v>
      </c>
    </row>
    <row r="45" spans="1:2" x14ac:dyDescent="0.3">
      <c r="A45" s="2">
        <v>45505</v>
      </c>
      <c r="B45" s="1">
        <v>47.62</v>
      </c>
    </row>
    <row r="46" spans="1:2" x14ac:dyDescent="0.3">
      <c r="A46" s="2">
        <v>45536</v>
      </c>
      <c r="B46" s="1">
        <v>46.71</v>
      </c>
    </row>
    <row r="47" spans="1:2" x14ac:dyDescent="0.3">
      <c r="A47" s="2">
        <v>45566</v>
      </c>
      <c r="B47" s="1">
        <v>42.62</v>
      </c>
    </row>
    <row r="48" spans="1:2" x14ac:dyDescent="0.3">
      <c r="A48" s="2">
        <v>45597</v>
      </c>
      <c r="B48" s="1">
        <v>37.619999999999997</v>
      </c>
    </row>
    <row r="49" spans="1:2" x14ac:dyDescent="0.3">
      <c r="A49" s="2">
        <v>45627</v>
      </c>
      <c r="B49" s="1">
        <v>37.619999999999997</v>
      </c>
    </row>
    <row r="50" spans="1:2" x14ac:dyDescent="0.3">
      <c r="A50" s="2">
        <v>45658</v>
      </c>
      <c r="B50" s="1">
        <v>37.619999999999997</v>
      </c>
    </row>
    <row r="51" spans="1:2" x14ac:dyDescent="0.3">
      <c r="A51" s="2">
        <v>45689</v>
      </c>
      <c r="B51" s="1">
        <v>27.72</v>
      </c>
    </row>
    <row r="52" spans="1:2" x14ac:dyDescent="0.3">
      <c r="A52" s="2">
        <v>45717</v>
      </c>
      <c r="B52" s="1">
        <v>37.619999999999997</v>
      </c>
    </row>
    <row r="53" spans="1:2" x14ac:dyDescent="0.3">
      <c r="A53" s="2">
        <v>45748</v>
      </c>
      <c r="B53" s="1">
        <v>33.659999999999997</v>
      </c>
    </row>
    <row r="54" spans="1:2" x14ac:dyDescent="0.3">
      <c r="A54" s="2">
        <v>45778</v>
      </c>
      <c r="B54" s="1">
        <v>37.619999999999997</v>
      </c>
    </row>
    <row r="55" spans="1:2" x14ac:dyDescent="0.3">
      <c r="A55" s="2">
        <v>45809</v>
      </c>
      <c r="B55" s="1">
        <v>37.619999999999997</v>
      </c>
    </row>
    <row r="56" spans="1:2" x14ac:dyDescent="0.3">
      <c r="A56" s="2">
        <v>45839</v>
      </c>
      <c r="B56" s="1">
        <v>37.619999999999997</v>
      </c>
    </row>
    <row r="57" spans="1:2" x14ac:dyDescent="0.3">
      <c r="A57" s="2">
        <v>45870</v>
      </c>
      <c r="B57" s="1">
        <v>37.619999999999997</v>
      </c>
    </row>
    <row r="58" spans="1:2" x14ac:dyDescent="0.3">
      <c r="A58" s="2">
        <v>45901</v>
      </c>
      <c r="B58" s="1">
        <v>37.619999999999997</v>
      </c>
    </row>
    <row r="59" spans="1:2" x14ac:dyDescent="0.3">
      <c r="A59" s="2">
        <v>45931</v>
      </c>
      <c r="B59" s="1">
        <v>37.619999999999997</v>
      </c>
    </row>
    <row r="60" spans="1:2" x14ac:dyDescent="0.3">
      <c r="A60" s="2">
        <v>45962</v>
      </c>
      <c r="B60" s="1">
        <v>49.62</v>
      </c>
    </row>
    <row r="61" spans="1:2" x14ac:dyDescent="0.3">
      <c r="A61" s="2">
        <v>45992</v>
      </c>
      <c r="B61" s="1">
        <v>38.619999999999997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"/>
  <sheetViews>
    <sheetView showGridLines="0" showRowColHeaders="0" tabSelected="1" showRuler="0" zoomScale="87" zoomScaleNormal="100" zoomScaleSheetLayoutView="100" workbookViewId="0">
      <selection activeCell="AA45" sqref="AA45"/>
    </sheetView>
  </sheetViews>
  <sheetFormatPr defaultRowHeight="14.4" x14ac:dyDescent="0.3"/>
  <sheetData>
    <row r="1" spans="1:17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5.8" x14ac:dyDescent="0.5">
      <c r="A2" s="6"/>
      <c r="B2" s="6"/>
      <c r="C2" s="6"/>
      <c r="D2" s="6"/>
      <c r="E2" s="6"/>
      <c r="F2" s="7" t="s">
        <v>62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</sheetData>
  <pageMargins left="0.7" right="0.7" top="0.75" bottom="0.75" header="0.3" footer="0.3"/>
  <pageSetup scale="59"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F7" sqref="F7"/>
    </sheetView>
  </sheetViews>
  <sheetFormatPr defaultRowHeight="14.4" x14ac:dyDescent="0.3"/>
  <cols>
    <col min="1" max="1" width="17.77734375" customWidth="1"/>
    <col min="2" max="2" width="11.109375" customWidth="1"/>
    <col min="5" max="5" width="17.77734375" customWidth="1"/>
    <col min="6" max="6" width="15.44140625" customWidth="1"/>
  </cols>
  <sheetData>
    <row r="1" spans="1:6" x14ac:dyDescent="0.3">
      <c r="A1" s="1" t="s">
        <v>23</v>
      </c>
      <c r="B1" s="1" t="s">
        <v>24</v>
      </c>
    </row>
    <row r="2" spans="1:6" x14ac:dyDescent="0.3">
      <c r="A2" s="1" t="s">
        <v>25</v>
      </c>
      <c r="B2" s="1">
        <v>49.62</v>
      </c>
      <c r="E2" s="3" t="s">
        <v>2</v>
      </c>
      <c r="F2" t="s">
        <v>35</v>
      </c>
    </row>
    <row r="3" spans="1:6" x14ac:dyDescent="0.3">
      <c r="A3" s="1" t="s">
        <v>26</v>
      </c>
      <c r="B3" s="1">
        <v>47.62</v>
      </c>
      <c r="E3" s="4" t="s">
        <v>34</v>
      </c>
      <c r="F3" s="1">
        <v>42.62</v>
      </c>
    </row>
    <row r="4" spans="1:6" x14ac:dyDescent="0.3">
      <c r="A4" s="1" t="s">
        <v>27</v>
      </c>
      <c r="B4" s="1">
        <v>46.62</v>
      </c>
      <c r="E4" s="4" t="s">
        <v>32</v>
      </c>
      <c r="F4" s="1">
        <v>43.62</v>
      </c>
    </row>
    <row r="5" spans="1:6" x14ac:dyDescent="0.3">
      <c r="A5" s="1" t="s">
        <v>28</v>
      </c>
      <c r="B5" s="1">
        <v>45.62</v>
      </c>
      <c r="E5" s="4" t="s">
        <v>31</v>
      </c>
      <c r="F5" s="1">
        <v>43.62</v>
      </c>
    </row>
    <row r="6" spans="1:6" x14ac:dyDescent="0.3">
      <c r="A6" s="1" t="s">
        <v>29</v>
      </c>
      <c r="B6" s="1">
        <v>45.62</v>
      </c>
      <c r="E6" s="4" t="s">
        <v>25</v>
      </c>
      <c r="F6" s="1">
        <v>49.62</v>
      </c>
    </row>
    <row r="7" spans="1:6" x14ac:dyDescent="0.3">
      <c r="A7" s="1" t="s">
        <v>30</v>
      </c>
      <c r="B7" s="1">
        <v>43.62</v>
      </c>
      <c r="E7" s="4" t="s">
        <v>29</v>
      </c>
      <c r="F7" s="1">
        <v>45.62</v>
      </c>
    </row>
    <row r="8" spans="1:6" x14ac:dyDescent="0.3">
      <c r="A8" s="1" t="s">
        <v>31</v>
      </c>
      <c r="B8" s="1">
        <v>43.62</v>
      </c>
      <c r="E8" s="4" t="s">
        <v>30</v>
      </c>
      <c r="F8" s="1">
        <v>43.62</v>
      </c>
    </row>
    <row r="9" spans="1:6" x14ac:dyDescent="0.3">
      <c r="A9" s="1" t="s">
        <v>32</v>
      </c>
      <c r="B9" s="1">
        <v>43.62</v>
      </c>
      <c r="E9" s="4" t="s">
        <v>28</v>
      </c>
      <c r="F9" s="1">
        <v>45.62</v>
      </c>
    </row>
    <row r="10" spans="1:6" x14ac:dyDescent="0.3">
      <c r="A10" s="1" t="s">
        <v>33</v>
      </c>
      <c r="B10" s="1">
        <v>42.62</v>
      </c>
      <c r="E10" s="4" t="s">
        <v>27</v>
      </c>
      <c r="F10" s="1">
        <v>46.62</v>
      </c>
    </row>
    <row r="11" spans="1:6" x14ac:dyDescent="0.3">
      <c r="A11" s="1" t="s">
        <v>34</v>
      </c>
      <c r="B11" s="1">
        <v>42.62</v>
      </c>
      <c r="E11" s="4" t="s">
        <v>26</v>
      </c>
      <c r="F11" s="1">
        <v>47.62</v>
      </c>
    </row>
    <row r="12" spans="1:6" x14ac:dyDescent="0.3">
      <c r="E12" s="4" t="s">
        <v>33</v>
      </c>
      <c r="F12" s="1">
        <v>42.62</v>
      </c>
    </row>
    <row r="13" spans="1:6" x14ac:dyDescent="0.3">
      <c r="E13" s="4" t="s">
        <v>3</v>
      </c>
      <c r="F13" s="1">
        <v>451.2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H4" sqref="H4"/>
    </sheetView>
  </sheetViews>
  <sheetFormatPr defaultRowHeight="14.4" x14ac:dyDescent="0.3"/>
  <cols>
    <col min="1" max="1" width="9.88671875" customWidth="1"/>
    <col min="2" max="2" width="16.109375" customWidth="1"/>
    <col min="3" max="3" width="10.5546875" customWidth="1"/>
    <col min="5" max="5" width="16.109375" customWidth="1"/>
    <col min="6" max="6" width="14.88671875" customWidth="1"/>
  </cols>
  <sheetData>
    <row r="1" spans="1:6" x14ac:dyDescent="0.3">
      <c r="A1" s="1" t="s">
        <v>36</v>
      </c>
      <c r="B1" s="1" t="s">
        <v>37</v>
      </c>
      <c r="C1" s="1" t="s">
        <v>1</v>
      </c>
    </row>
    <row r="2" spans="1:6" x14ac:dyDescent="0.3">
      <c r="A2" s="1">
        <v>1</v>
      </c>
      <c r="B2" s="1" t="s">
        <v>38</v>
      </c>
      <c r="C2" s="1">
        <v>7720.02</v>
      </c>
      <c r="E2" s="3" t="s">
        <v>2</v>
      </c>
      <c r="F2" t="s">
        <v>9</v>
      </c>
    </row>
    <row r="3" spans="1:6" x14ac:dyDescent="0.3">
      <c r="A3" s="1">
        <v>7</v>
      </c>
      <c r="B3" s="1" t="s">
        <v>39</v>
      </c>
      <c r="C3" s="1">
        <v>3472.55</v>
      </c>
      <c r="E3" s="4" t="s">
        <v>51</v>
      </c>
      <c r="F3" s="1">
        <v>211.17</v>
      </c>
    </row>
    <row r="4" spans="1:6" x14ac:dyDescent="0.3">
      <c r="A4" s="1">
        <v>3</v>
      </c>
      <c r="B4" s="1" t="s">
        <v>40</v>
      </c>
      <c r="C4" s="1">
        <v>2093.13</v>
      </c>
      <c r="E4" s="4" t="s">
        <v>41</v>
      </c>
      <c r="F4" s="1">
        <v>1961.66</v>
      </c>
    </row>
    <row r="5" spans="1:6" x14ac:dyDescent="0.3">
      <c r="A5" s="1">
        <v>4</v>
      </c>
      <c r="B5" s="1" t="s">
        <v>41</v>
      </c>
      <c r="C5" s="1">
        <v>1961.66</v>
      </c>
      <c r="E5" s="4" t="s">
        <v>45</v>
      </c>
      <c r="F5" s="1">
        <v>429.66</v>
      </c>
    </row>
    <row r="6" spans="1:6" x14ac:dyDescent="0.3">
      <c r="A6" s="1">
        <v>19</v>
      </c>
      <c r="B6" s="1" t="s">
        <v>42</v>
      </c>
      <c r="C6" s="1">
        <v>817.71</v>
      </c>
      <c r="E6" s="4" t="s">
        <v>60</v>
      </c>
      <c r="F6" s="1">
        <v>86.13</v>
      </c>
    </row>
    <row r="7" spans="1:6" x14ac:dyDescent="0.3">
      <c r="A7" s="1">
        <v>2</v>
      </c>
      <c r="B7" s="1" t="s">
        <v>43</v>
      </c>
      <c r="C7" s="1">
        <v>746.46</v>
      </c>
      <c r="E7" s="4" t="s">
        <v>48</v>
      </c>
      <c r="F7" s="1">
        <v>317.04000000000002</v>
      </c>
    </row>
    <row r="8" spans="1:6" x14ac:dyDescent="0.3">
      <c r="A8" s="1">
        <v>21</v>
      </c>
      <c r="B8" s="1" t="s">
        <v>44</v>
      </c>
      <c r="C8" s="1">
        <v>544.61</v>
      </c>
      <c r="E8" s="4" t="s">
        <v>58</v>
      </c>
      <c r="F8" s="1">
        <v>112.3</v>
      </c>
    </row>
    <row r="9" spans="1:6" x14ac:dyDescent="0.3">
      <c r="A9" s="1">
        <v>6</v>
      </c>
      <c r="B9" s="1" t="s">
        <v>45</v>
      </c>
      <c r="C9" s="1">
        <v>429.66</v>
      </c>
      <c r="E9" s="4" t="s">
        <v>44</v>
      </c>
      <c r="F9" s="1">
        <v>544.61</v>
      </c>
    </row>
    <row r="10" spans="1:6" x14ac:dyDescent="0.3">
      <c r="A10" s="1">
        <v>14</v>
      </c>
      <c r="B10" s="1" t="s">
        <v>46</v>
      </c>
      <c r="C10" s="1">
        <v>338.62</v>
      </c>
      <c r="E10" s="4" t="s">
        <v>57</v>
      </c>
      <c r="F10" s="1">
        <v>138.6</v>
      </c>
    </row>
    <row r="11" spans="1:6" x14ac:dyDescent="0.3">
      <c r="A11" s="1">
        <v>8</v>
      </c>
      <c r="B11" s="1" t="s">
        <v>47</v>
      </c>
      <c r="C11" s="1">
        <v>332.64</v>
      </c>
      <c r="E11" s="4" t="s">
        <v>56</v>
      </c>
      <c r="F11" s="1">
        <v>149.62</v>
      </c>
    </row>
    <row r="12" spans="1:6" x14ac:dyDescent="0.3">
      <c r="A12" s="1">
        <v>24</v>
      </c>
      <c r="B12" s="1" t="s">
        <v>48</v>
      </c>
      <c r="C12" s="1">
        <v>317.04000000000002</v>
      </c>
      <c r="E12" s="4" t="s">
        <v>55</v>
      </c>
      <c r="F12" s="1">
        <v>161.37</v>
      </c>
    </row>
    <row r="13" spans="1:6" x14ac:dyDescent="0.3">
      <c r="A13" s="1">
        <v>10</v>
      </c>
      <c r="B13" s="1" t="s">
        <v>49</v>
      </c>
      <c r="C13" s="1">
        <v>242.55</v>
      </c>
      <c r="E13" s="4" t="s">
        <v>54</v>
      </c>
      <c r="F13" s="1">
        <v>166.41</v>
      </c>
    </row>
    <row r="14" spans="1:6" x14ac:dyDescent="0.3">
      <c r="A14" s="1">
        <v>9</v>
      </c>
      <c r="B14" s="1" t="s">
        <v>50</v>
      </c>
      <c r="C14" s="1">
        <v>239.75</v>
      </c>
      <c r="E14" s="4" t="s">
        <v>43</v>
      </c>
      <c r="F14" s="1">
        <v>746.46</v>
      </c>
    </row>
    <row r="15" spans="1:6" x14ac:dyDescent="0.3">
      <c r="A15" s="1">
        <v>23</v>
      </c>
      <c r="B15" s="1" t="s">
        <v>51</v>
      </c>
      <c r="C15" s="1">
        <v>211.17</v>
      </c>
      <c r="E15" s="4" t="s">
        <v>39</v>
      </c>
      <c r="F15" s="1">
        <v>3472.55</v>
      </c>
    </row>
    <row r="16" spans="1:6" x14ac:dyDescent="0.3">
      <c r="A16" s="1">
        <v>20</v>
      </c>
      <c r="B16" s="1" t="s">
        <v>52</v>
      </c>
      <c r="C16" s="1">
        <v>198.87</v>
      </c>
      <c r="E16" s="4" t="s">
        <v>40</v>
      </c>
      <c r="F16" s="1">
        <v>2093.13</v>
      </c>
    </row>
    <row r="17" spans="1:6" x14ac:dyDescent="0.3">
      <c r="A17" s="1">
        <v>16</v>
      </c>
      <c r="B17" s="1" t="s">
        <v>53</v>
      </c>
      <c r="C17" s="1">
        <v>182.18</v>
      </c>
      <c r="E17" s="4" t="s">
        <v>50</v>
      </c>
      <c r="F17" s="1">
        <v>239.75</v>
      </c>
    </row>
    <row r="18" spans="1:6" x14ac:dyDescent="0.3">
      <c r="A18" s="1">
        <v>17</v>
      </c>
      <c r="B18" s="1" t="s">
        <v>54</v>
      </c>
      <c r="C18" s="1">
        <v>166.41</v>
      </c>
      <c r="E18" s="4" t="s">
        <v>46</v>
      </c>
      <c r="F18" s="1">
        <v>338.62</v>
      </c>
    </row>
    <row r="19" spans="1:6" x14ac:dyDescent="0.3">
      <c r="A19" s="1">
        <v>13</v>
      </c>
      <c r="B19" s="1" t="s">
        <v>55</v>
      </c>
      <c r="C19" s="1">
        <v>161.37</v>
      </c>
      <c r="E19" s="4" t="s">
        <v>47</v>
      </c>
      <c r="F19" s="1">
        <v>332.64</v>
      </c>
    </row>
    <row r="20" spans="1:6" x14ac:dyDescent="0.3">
      <c r="A20" s="1">
        <v>15</v>
      </c>
      <c r="B20" s="1" t="s">
        <v>56</v>
      </c>
      <c r="C20" s="1">
        <v>149.62</v>
      </c>
      <c r="E20" s="4" t="s">
        <v>38</v>
      </c>
      <c r="F20" s="1">
        <v>7720.02</v>
      </c>
    </row>
    <row r="21" spans="1:6" x14ac:dyDescent="0.3">
      <c r="A21" s="1">
        <v>12</v>
      </c>
      <c r="B21" s="1" t="s">
        <v>57</v>
      </c>
      <c r="C21" s="1">
        <v>138.6</v>
      </c>
      <c r="E21" s="4" t="s">
        <v>61</v>
      </c>
      <c r="F21" s="1">
        <v>83.16</v>
      </c>
    </row>
    <row r="22" spans="1:6" x14ac:dyDescent="0.3">
      <c r="A22" s="1">
        <v>22</v>
      </c>
      <c r="B22" s="1" t="s">
        <v>58</v>
      </c>
      <c r="C22" s="1">
        <v>112.3</v>
      </c>
      <c r="E22" s="4" t="s">
        <v>52</v>
      </c>
      <c r="F22" s="1">
        <v>198.87</v>
      </c>
    </row>
    <row r="23" spans="1:6" x14ac:dyDescent="0.3">
      <c r="A23" s="1">
        <v>18</v>
      </c>
      <c r="B23" s="1" t="s">
        <v>59</v>
      </c>
      <c r="C23" s="1">
        <v>102.41</v>
      </c>
      <c r="E23" s="4" t="s">
        <v>59</v>
      </c>
      <c r="F23" s="1">
        <v>102.41</v>
      </c>
    </row>
    <row r="24" spans="1:6" x14ac:dyDescent="0.3">
      <c r="A24" s="1">
        <v>11</v>
      </c>
      <c r="B24" s="1" t="s">
        <v>60</v>
      </c>
      <c r="C24" s="1">
        <v>86.13</v>
      </c>
      <c r="E24" s="4" t="s">
        <v>49</v>
      </c>
      <c r="F24" s="1">
        <v>242.55</v>
      </c>
    </row>
    <row r="25" spans="1:6" x14ac:dyDescent="0.3">
      <c r="A25" s="1">
        <v>5</v>
      </c>
      <c r="B25" s="1" t="s">
        <v>61</v>
      </c>
      <c r="C25" s="1">
        <v>83.16</v>
      </c>
      <c r="E25" s="4" t="s">
        <v>42</v>
      </c>
      <c r="F25" s="1">
        <v>817.71</v>
      </c>
    </row>
    <row r="26" spans="1:6" x14ac:dyDescent="0.3">
      <c r="E26" s="4" t="s">
        <v>53</v>
      </c>
      <c r="F26" s="1">
        <v>182.18</v>
      </c>
    </row>
    <row r="27" spans="1:6" x14ac:dyDescent="0.3">
      <c r="E27" s="4" t="s">
        <v>3</v>
      </c>
      <c r="F27" s="1">
        <v>20848.619999999995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CE63A3-6B96-4717-BBBC-BB01AC4787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Sheet1</vt:lpstr>
      <vt:lpstr>Dashboard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2026-01-22T17:22:10Z</dcterms:created>
  <dcterms:modified xsi:type="dcterms:W3CDTF">2026-01-22T19:53:41Z</dcterms:modified>
</cp:coreProperties>
</file>